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erchang\Downloads\"/>
    </mc:Choice>
  </mc:AlternateContent>
  <xr:revisionPtr revIDLastSave="0" documentId="13_ncr:1_{F4C5FDCA-8C2F-4454-91A2-138F645CB032}" xr6:coauthVersionLast="47" xr6:coauthVersionMax="47" xr10:uidLastSave="{00000000-0000-0000-0000-000000000000}"/>
  <bookViews>
    <workbookView xWindow="-110" yWindow="-110" windowWidth="25820" windowHeight="15500" xr2:uid="{74C2F15B-1047-4D2F-B930-483A4455B07A}"/>
  </bookViews>
  <sheets>
    <sheet name="Ichiro" sheetId="1" r:id="rId1"/>
    <sheet name="長打比較圖" sheetId="2" r:id="rId2"/>
    <sheet name="球隊打擊率趨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weberchang</author>
  </authors>
  <commentList>
    <comment ref="A1" authorId="0" shapeId="0" xr:uid="{41735048-991D-4539-BC73-B1BAC662CF8B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Year：該球季的年份</t>
        </r>
      </text>
    </comment>
    <comment ref="B1" authorId="0" shapeId="0" xr:uid="{8DAEC3E6-BFD6-412D-99B5-657CFB8FD17C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Age：該球季 6 月 30 日時的年齡</t>
        </r>
      </text>
    </comment>
    <comment ref="C1" authorId="0" shapeId="0" xr:uid="{51DD9C0F-06FA-4395-8CA2-53D251807AC1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Tm：效力的球隊（Team）</t>
        </r>
      </text>
    </comment>
    <comment ref="D1" authorId="0" shapeId="0" xr:uid="{E5DEAFA4-BE58-4DC1-A696-CD0D46EEEA0C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Lg：所屬聯盟（League）</t>
        </r>
      </text>
    </comment>
    <comment ref="E1" authorId="0" shapeId="0" xr:uid="{73F078D1-5CBD-4A6E-A1E9-28963DC2CD4D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G：出賽場次（Games Played）</t>
        </r>
      </text>
    </comment>
    <comment ref="F1" authorId="0" shapeId="0" xr:uid="{5AAF08B5-9ED6-4DBA-A864-9FF478942765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PA：打席數（Plate Appearances）</t>
        </r>
      </text>
    </comment>
    <comment ref="G1" authorId="0" shapeId="0" xr:uid="{250CF1A7-6BF7-482F-8FDB-856E92EBC1BF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AB：打數（At Bats）</t>
        </r>
      </text>
    </comment>
    <comment ref="H1" authorId="0" shapeId="0" xr:uid="{F1A512C7-F59F-4B73-965A-C54EF835A9FD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R：得分（Runs Scored）</t>
        </r>
      </text>
    </comment>
    <comment ref="I1" authorId="0" shapeId="0" xr:uid="{E7527730-7C2E-4043-9461-A3FE6710642C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H：安打數（Hits）</t>
        </r>
      </text>
    </comment>
    <comment ref="J1" authorId="0" shapeId="0" xr:uid="{7117E34C-4AD1-45CE-A47A-6FE89877A832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2B：二壘安打數（Doubles）</t>
        </r>
      </text>
    </comment>
    <comment ref="K1" authorId="0" shapeId="0" xr:uid="{2E7E5228-EE43-4DB2-A857-6A0875C43FD5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3B：三壘安打數（Triples）</t>
        </r>
      </text>
    </comment>
    <comment ref="L1" authorId="0" shapeId="0" xr:uid="{35C2D68C-6981-4942-9D76-1437CABA3661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HR：全壘打數（Home Runs）</t>
        </r>
      </text>
    </comment>
    <comment ref="M1" authorId="0" shapeId="0" xr:uid="{99B4E559-8313-42F0-9E73-349E46E72FC8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RBI：打點（Runs Batted In）</t>
        </r>
      </text>
    </comment>
    <comment ref="N1" authorId="0" shapeId="0" xr:uid="{1FC95537-90EF-4DD5-9882-67D1B0424F93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SB：盜壘成功數（Stolen Bases）</t>
        </r>
      </text>
    </comment>
    <comment ref="O1" authorId="0" shapeId="0" xr:uid="{5D8E0807-AC02-4C18-AEFA-3AF403F8D574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CS：盜壘失敗／被抓到盜壘的次數（Caught Stealing）</t>
        </r>
      </text>
    </comment>
    <comment ref="P1" authorId="0" shapeId="0" xr:uid="{86D59008-F964-4070-B20F-30D742C8BE3F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BB：四壞球保送（Walks）</t>
        </r>
      </text>
    </comment>
    <comment ref="Q1" authorId="0" shapeId="0" xr:uid="{5665A411-059D-435A-A068-1DD88DDF7347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SO：三振次數（Strikeouts）</t>
        </r>
      </text>
    </comment>
    <comment ref="R1" authorId="0" shapeId="0" xr:uid="{57A006BC-4B81-4355-997A-909E0732E9AE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BA：打擊率（Batting Average）</t>
        </r>
      </text>
    </comment>
    <comment ref="S1" authorId="0" shapeId="0" xr:uid="{AE4B5432-8676-41D9-AF25-D1F50F0F03ED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OBP：上壘率（On-Base Percentage）</t>
        </r>
      </text>
    </comment>
    <comment ref="T1" authorId="0" shapeId="0" xr:uid="{21BC968B-F7BE-401F-ADEB-F10225B54385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SLG：長打率（Slugging Percentage）</t>
        </r>
      </text>
    </comment>
    <comment ref="U1" authorId="0" shapeId="0" xr:uid="{5B9C4EDD-E7A2-4428-A74E-147A6CF461DC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OPS：上壘率＋長打率（OBP + SLG）</t>
        </r>
      </text>
    </comment>
    <comment ref="V1" authorId="0" shapeId="0" xr:uid="{59C0C76C-7289-4091-A919-5C9AF62B31DB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OPS+：經球場因素等調整後的 OPS 指標</t>
        </r>
      </text>
    </comment>
    <comment ref="W1" authorId="0" shapeId="0" xr:uid="{90A141D4-2665-4AB7-A634-05DEB106C55D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TB：壘打數（Total Bases）</t>
        </r>
      </text>
    </comment>
    <comment ref="X1" authorId="0" shapeId="0" xr:uid="{1212901F-CF75-4E00-A099-1123C88C4579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GDP：擊出滾地球形成雙殺的次數（Grounded Into Double Plays）</t>
        </r>
      </text>
    </comment>
    <comment ref="Y1" authorId="0" shapeId="0" xr:uid="{91A51569-F844-49E0-B649-5B9F16CEA101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HBP：觸身球次數（Hit By Pitch）</t>
        </r>
      </text>
    </comment>
    <comment ref="Z1" authorId="0" shapeId="0" xr:uid="{AE77CA8E-B7C8-496C-94CA-06B28A8C7924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SH：犧牲觸擊／犧牲安打（Sacrifice Hits）</t>
        </r>
      </text>
    </comment>
    <comment ref="AA1" authorId="0" shapeId="0" xr:uid="{09B316DC-4B5F-46CE-B440-A6BC6566BD75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SF：高飛犧牲打（Sacrifice Flies）</t>
        </r>
      </text>
    </comment>
    <comment ref="AB1" authorId="0" shapeId="0" xr:uid="{55932FFC-BBCB-413D-988C-09F0D68DCB63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IBB：故意四壞球保送（Intentional Base on Balls）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weberchang</author>
  </authors>
  <commentList>
    <comment ref="M1" authorId="0" shapeId="0" xr:uid="{05AD1F60-366D-4ACE-AB9E-6186662EED6B}">
      <text>
        <r>
          <rPr>
            <b/>
            <sz val="9"/>
            <color indexed="81"/>
            <rFont val="Tahoma"/>
            <family val="2"/>
          </rPr>
          <t>weberchang:</t>
        </r>
        <r>
          <rPr>
            <sz val="9"/>
            <color indexed="81"/>
            <rFont val="Tahoma"/>
            <family val="2"/>
          </rPr>
          <t xml:space="preserve">
2012 年使用 Ichiro 表中的全年合計（Tm = TOT）。</t>
        </r>
      </text>
    </comment>
  </commentList>
</comments>
</file>

<file path=xl/sharedStrings.xml><?xml version="1.0" encoding="utf-8"?>
<sst xmlns="http://schemas.openxmlformats.org/spreadsheetml/2006/main" count="98" uniqueCount="56">
  <si>
    <t>SEA</t>
  </si>
  <si>
    <t>TOT</t>
  </si>
  <si>
    <t>NYY</t>
  </si>
  <si>
    <t>MIA</t>
  </si>
  <si>
    <t>年份</t>
  </si>
  <si>
    <t>年齡</t>
  </si>
  <si>
    <t>球隊</t>
  </si>
  <si>
    <t>聯盟</t>
  </si>
  <si>
    <t>出賽場次</t>
  </si>
  <si>
    <t>打席數</t>
  </si>
  <si>
    <t>打數</t>
  </si>
  <si>
    <t>得分</t>
  </si>
  <si>
    <t>安打數</t>
  </si>
  <si>
    <t>二壘安打</t>
  </si>
  <si>
    <t>三壘安打</t>
  </si>
  <si>
    <t>全壘打</t>
  </si>
  <si>
    <t>打點</t>
  </si>
  <si>
    <t>盜壘成功</t>
  </si>
  <si>
    <t>盜壘失敗</t>
  </si>
  <si>
    <t>四壞球保送</t>
  </si>
  <si>
    <t>三振次數</t>
  </si>
  <si>
    <t>打擊率</t>
  </si>
  <si>
    <t>上壘率</t>
  </si>
  <si>
    <t>長打率</t>
  </si>
  <si>
    <t>上壘加長打率</t>
  </si>
  <si>
    <t>調整後OPS指標</t>
  </si>
  <si>
    <t>壘打數</t>
  </si>
  <si>
    <t>滾地雙殺</t>
  </si>
  <si>
    <t>觸身球</t>
  </si>
  <si>
    <t>犧牲觸擊</t>
  </si>
  <si>
    <t>高飛犧牲打</t>
  </si>
  <si>
    <t>故意四壞球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</si>
  <si>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</si>
  <si>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</si>
  <si>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</si>
  <si>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</si>
  <si>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</si>
  <si>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</si>
  <si>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</si>
  <si>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</si>
  <si>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</si>
  <si>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</si>
  <si>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</si>
  <si>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</si>
  <si>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</si>
  <si>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</si>
  <si>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</si>
  <si>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</si>
  <si>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</si>
  <si>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</si>
  <si>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</si>
  <si>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 xml:space="preserve">,  </t>
    <phoneticPr fontId="18" type="noConversion"/>
  </si>
  <si>
    <t>Ichiro 生涯打擊率－依球隊趨勢</t>
  </si>
  <si>
    <t>註：2012 年的 TOT 為跨隊合計，圖表採 SEA 與 NYY 各隊實際打擊率。</t>
  </si>
  <si>
    <t>美聯</t>
  </si>
  <si>
    <t>國聯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</si>
</sst>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FFFF"/>
      <name val="新細明體"/>
      <family val="2"/>
      <charset val="136"/>
      <scheme val="minor"/>
    </font>
    <font>
      <sz val="12"/>
      <color rgb="FF008000"/>
      <name val="新細明體"/>
      <family val="2"/>
      <charset val="136"/>
      <scheme val="minor"/>
    </font>
    <font>
      <b/>
      <sz val="16"/>
      <color rgb="FFFFFFFF"/>
      <name val="新細明體"/>
      <family val="2"/>
      <charset val="136"/>
      <scheme val="minor"/>
    </font>
    <font>
      <i/>
      <sz val="10"/>
      <color rgb="FF666666"/>
      <name val="新細明體"/>
      <family val="1"/>
      <charset val="136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D9D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1" fillId="33" borderId="0" xfId="0" applyFont="1" applyFill="1" applyAlignment="1">
      <alignment horizontal="center" vertical="center"/>
    </xf>
    <xf numFmtId="0" fontId="16" fillId="34" borderId="0" xfId="0" applyFont="1" applyFill="1">
      <alignment vertical="center"/>
    </xf>
    <xf numFmtId="0" fontId="22" fillId="0" borderId="0" xfId="0" applyFont="1" applyAlignment="1">
      <alignment horizontal="center" vertical="center"/>
    </xf>
    <xf numFmtId="0" fontId="23" fillId="35" borderId="0" xfId="0" applyFont="1" applyFill="1" applyAlignment="1">
      <alignment horizontal="center" vertical="center"/>
    </xf>
    <xf numFmtId="0" fontId="16" fillId="34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24" fillId="0" borderId="0" xfId="0" applyFont="1">
      <alignment vertical="center"/>
    </xf>
    <xf numFmtId="0" fontId="13" fillId="37" borderId="11" xfId="0" applyFont="1" applyFill="1" applyBorder="1">
      <alignment vertical="center"/>
    </xf>
    <xf numFmtId="0" fontId="13" fillId="37" borderId="12" xfId="0" applyFont="1" applyFill="1" applyBorder="1">
      <alignment vertical="center"/>
    </xf>
    <xf numFmtId="0" fontId="0" fillId="0" borderId="13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13" fillId="37" borderId="16" xfId="0" applyFont="1" applyFill="1" applyBorder="1">
      <alignment vertical="center"/>
    </xf>
    <xf numFmtId="0" fontId="0" fillId="36" borderId="0" xfId="0" applyFont="1" applyFill="1" applyBorder="1">
      <alignment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13" fillId="37" borderId="0" xfId="0" applyFont="1" applyFill="1" applyBorder="1">
      <alignment vertical="center"/>
    </xf>
    <xf numFmtId="0" fontId="0" fillId="38" borderId="0" xfId="0" applyFont="1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新細明體"/>
        <family val="2"/>
        <charset val="136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charset val="136"/>
        <scheme val="minor"/>
      </font>
    </dxf>
    <dxf>
      <border outline="0"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歷年二壘安打 </a:t>
            </a:r>
            <a:r>
              <a:rPr lang="en-US"/>
              <a:t>vs </a:t>
            </a:r>
            <a:r>
              <a:rPr lang="zh-TW"/>
              <a:t>三壘安打（年度堆疊）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長打比較圖!$B$1</c:f>
              <c:strCache>
                <c:ptCount val="1"/>
                <c:pt idx="0">
                  <c:v>2001年</c:v>
                </c:pt>
              </c:strCache>
            </c:strRef>
          </c:tx>
          <c:spPr>
            <a:solidFill>
              <a:srgbClr val="1F77B4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長打比較圖!$B$2:$B$3</c:f>
              <c:numCache>
                <c:formatCode>General</c:formatCode>
                <c:ptCount val="2"/>
                <c:pt idx="0">
                  <c:v>34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0-4FB7-8C6B-9E92B673E03F}"/>
            </c:ext>
          </c:extLst>
        </c:ser>
        <c:ser>
          <c:idx val="1"/>
          <c:order val="1"/>
          <c:tx>
            <c:strRef>
              <c:f>長打比較圖!$C$1</c:f>
              <c:strCache>
                <c:ptCount val="1"/>
                <c:pt idx="0">
                  <c:v>2002年</c:v>
                </c:pt>
              </c:strCache>
            </c:strRef>
          </c:tx>
          <c:spPr>
            <a:solidFill>
              <a:srgbClr val="FF7F0E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長打比較圖!$C$2:$C$3</c:f>
              <c:numCache>
                <c:formatCode>General</c:formatCode>
                <c:ptCount val="2"/>
                <c:pt idx="0">
                  <c:v>27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0-4FB7-8C6B-9E92B673E03F}"/>
            </c:ext>
          </c:extLst>
        </c:ser>
        <c:ser>
          <c:idx val="2"/>
          <c:order val="2"/>
          <c:tx>
            <c:strRef>
              <c:f>長打比較圖!$D$1</c:f>
              <c:strCache>
                <c:ptCount val="1"/>
                <c:pt idx="0">
                  <c:v>2003年</c:v>
                </c:pt>
              </c:strCache>
            </c:strRef>
          </c:tx>
          <c:spPr>
            <a:solidFill>
              <a:srgbClr val="2CA02C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長打比較圖!$D$2:$D$3</c:f>
              <c:numCache>
                <c:formatCode>General</c:formatCode>
                <c:ptCount val="2"/>
                <c:pt idx="0">
                  <c:v>29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90-4FB7-8C6B-9E92B673E03F}"/>
            </c:ext>
          </c:extLst>
        </c:ser>
        <c:ser>
          <c:idx val="3"/>
          <c:order val="3"/>
          <c:tx>
            <c:strRef>
              <c:f>長打比較圖!$E$1</c:f>
              <c:strCache>
                <c:ptCount val="1"/>
                <c:pt idx="0">
                  <c:v>2004年</c:v>
                </c:pt>
              </c:strCache>
            </c:strRef>
          </c:tx>
          <c:spPr>
            <a:solidFill>
              <a:srgbClr val="D62728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長打比較圖!$E$2:$E$3</c:f>
              <c:numCache>
                <c:formatCode>General</c:formatCode>
                <c:ptCount val="2"/>
                <c:pt idx="0">
                  <c:v>24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90-4FB7-8C6B-9E92B673E03F}"/>
            </c:ext>
          </c:extLst>
        </c:ser>
        <c:ser>
          <c:idx val="4"/>
          <c:order val="4"/>
          <c:tx>
            <c:strRef>
              <c:f>長打比較圖!$F$1</c:f>
              <c:strCache>
                <c:ptCount val="1"/>
                <c:pt idx="0">
                  <c:v>2005年</c:v>
                </c:pt>
              </c:strCache>
            </c:strRef>
          </c:tx>
          <c:spPr>
            <a:solidFill>
              <a:srgbClr val="9467BD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長打比較圖!$F$2:$F$3</c:f>
              <c:numCache>
                <c:formatCode>General</c:formatCode>
                <c:ptCount val="2"/>
                <c:pt idx="0">
                  <c:v>21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0-4FB7-8C6B-9E92B673E03F}"/>
            </c:ext>
          </c:extLst>
        </c:ser>
        <c:ser>
          <c:idx val="5"/>
          <c:order val="5"/>
          <c:tx>
            <c:strRef>
              <c:f>長打比較圖!$G$1</c:f>
              <c:strCache>
                <c:ptCount val="1"/>
                <c:pt idx="0">
                  <c:v>2006年</c:v>
                </c:pt>
              </c:strCache>
            </c:strRef>
          </c:tx>
          <c:spPr>
            <a:solidFill>
              <a:srgbClr val="8C564B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長打比較圖!$G$2:$G$3</c:f>
              <c:numCache>
                <c:formatCode>General</c:formatCode>
                <c:ptCount val="2"/>
                <c:pt idx="0">
                  <c:v>20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90-4FB7-8C6B-9E92B673E03F}"/>
            </c:ext>
          </c:extLst>
        </c:ser>
        <c:ser>
          <c:idx val="6"/>
          <c:order val="6"/>
          <c:tx>
            <c:strRef>
              <c:f>長打比較圖!$H$1</c:f>
              <c:strCache>
                <c:ptCount val="1"/>
                <c:pt idx="0">
                  <c:v>2007年</c:v>
                </c:pt>
              </c:strCache>
            </c:strRef>
          </c:tx>
          <c:spPr>
            <a:solidFill>
              <a:srgbClr val="E377C2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長打比較圖!$H$2:$H$3</c:f>
              <c:numCache>
                <c:formatCode>General</c:formatCode>
                <c:ptCount val="2"/>
                <c:pt idx="0">
                  <c:v>22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90-4FB7-8C6B-9E92B673E03F}"/>
            </c:ext>
          </c:extLst>
        </c:ser>
        <c:ser>
          <c:idx val="7"/>
          <c:order val="7"/>
          <c:tx>
            <c:strRef>
              <c:f>長打比較圖!$I$1</c:f>
              <c:strCache>
                <c:ptCount val="1"/>
                <c:pt idx="0">
                  <c:v>2008年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長打比較圖!$I$2:$I$3</c:f>
              <c:numCache>
                <c:formatCode>General</c:formatCode>
                <c:ptCount val="2"/>
                <c:pt idx="0">
                  <c:v>20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90-4FB7-8C6B-9E92B673E03F}"/>
            </c:ext>
          </c:extLst>
        </c:ser>
        <c:ser>
          <c:idx val="8"/>
          <c:order val="8"/>
          <c:tx>
            <c:strRef>
              <c:f>長打比較圖!$J$1</c:f>
              <c:strCache>
                <c:ptCount val="1"/>
                <c:pt idx="0">
                  <c:v>2009年</c:v>
                </c:pt>
              </c:strCache>
            </c:strRef>
          </c:tx>
          <c:spPr>
            <a:solidFill>
              <a:srgbClr val="BCBD22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長打比較圖!$J$2:$J$3</c:f>
              <c:numCache>
                <c:formatCode>General</c:formatCode>
                <c:ptCount val="2"/>
                <c:pt idx="0">
                  <c:v>31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90-4FB7-8C6B-9E92B673E03F}"/>
            </c:ext>
          </c:extLst>
        </c:ser>
        <c:ser>
          <c:idx val="9"/>
          <c:order val="9"/>
          <c:tx>
            <c:strRef>
              <c:f>長打比較圖!$K$1</c:f>
              <c:strCache>
                <c:ptCount val="1"/>
                <c:pt idx="0">
                  <c:v>2010年</c:v>
                </c:pt>
              </c:strCache>
            </c:strRef>
          </c:tx>
          <c:spPr>
            <a:solidFill>
              <a:srgbClr val="17BEC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長打比較圖!$K$2:$K$3</c:f>
              <c:numCache>
                <c:formatCode>General</c:formatCode>
                <c:ptCount val="2"/>
                <c:pt idx="0">
                  <c:v>30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90-4FB7-8C6B-9E92B673E03F}"/>
            </c:ext>
          </c:extLst>
        </c:ser>
        <c:ser>
          <c:idx val="10"/>
          <c:order val="10"/>
          <c:tx>
            <c:strRef>
              <c:f>長打比較圖!$L$1</c:f>
              <c:strCache>
                <c:ptCount val="1"/>
                <c:pt idx="0">
                  <c:v>2011年</c:v>
                </c:pt>
              </c:strCache>
            </c:strRef>
          </c:tx>
          <c:spPr>
            <a:solidFill>
              <a:srgbClr val="003F5C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長打比較圖!$L$2:$L$3</c:f>
              <c:numCache>
                <c:formatCode>General</c:formatCode>
                <c:ptCount val="2"/>
                <c:pt idx="0">
                  <c:v>22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90-4FB7-8C6B-9E92B673E03F}"/>
            </c:ext>
          </c:extLst>
        </c:ser>
        <c:ser>
          <c:idx val="11"/>
          <c:order val="11"/>
          <c:tx>
            <c:strRef>
              <c:f>長打比較圖!$M$1</c:f>
              <c:strCache>
                <c:ptCount val="1"/>
                <c:pt idx="0">
                  <c:v>2012年</c:v>
                </c:pt>
              </c:strCache>
            </c:strRef>
          </c:tx>
          <c:spPr>
            <a:solidFill>
              <a:srgbClr val="58508D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長打比較圖!$M$2:$M$3</c:f>
              <c:numCache>
                <c:formatCode>General</c:formatCode>
                <c:ptCount val="2"/>
                <c:pt idx="0">
                  <c:v>28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90-4FB7-8C6B-9E92B673E03F}"/>
            </c:ext>
          </c:extLst>
        </c:ser>
        <c:ser>
          <c:idx val="12"/>
          <c:order val="12"/>
          <c:tx>
            <c:strRef>
              <c:f>長打比較圖!$N$1</c:f>
              <c:strCache>
                <c:ptCount val="1"/>
                <c:pt idx="0">
                  <c:v>2013年</c:v>
                </c:pt>
              </c:strCache>
            </c:strRef>
          </c:tx>
          <c:spPr>
            <a:solidFill>
              <a:srgbClr val="BC509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長打比較圖!$N$2:$N$3</c:f>
              <c:numCache>
                <c:formatCode>General</c:formatCode>
                <c:ptCount val="2"/>
                <c:pt idx="0">
                  <c:v>15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90-4FB7-8C6B-9E92B673E03F}"/>
            </c:ext>
          </c:extLst>
        </c:ser>
        <c:ser>
          <c:idx val="13"/>
          <c:order val="13"/>
          <c:tx>
            <c:strRef>
              <c:f>長打比較圖!$O$1</c:f>
              <c:strCache>
                <c:ptCount val="1"/>
                <c:pt idx="0">
                  <c:v>2014年</c:v>
                </c:pt>
              </c:strCache>
            </c:strRef>
          </c:tx>
          <c:spPr>
            <a:solidFill>
              <a:srgbClr val="FF6361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長打比較圖!$O$2:$O$3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690-4FB7-8C6B-9E92B673E03F}"/>
            </c:ext>
          </c:extLst>
        </c:ser>
        <c:ser>
          <c:idx val="14"/>
          <c:order val="14"/>
          <c:tx>
            <c:strRef>
              <c:f>長打比較圖!$P$1</c:f>
              <c:strCache>
                <c:ptCount val="1"/>
                <c:pt idx="0">
                  <c:v>2015年</c:v>
                </c:pt>
              </c:strCache>
            </c:strRef>
          </c:tx>
          <c:spPr>
            <a:solidFill>
              <a:srgbClr val="FFA60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長打比較圖!$P$2:$P$3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90-4FB7-8C6B-9E92B673E03F}"/>
            </c:ext>
          </c:extLst>
        </c:ser>
        <c:ser>
          <c:idx val="15"/>
          <c:order val="15"/>
          <c:tx>
            <c:strRef>
              <c:f>長打比較圖!$Q$1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rgbClr val="4E79A7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長打比較圖!$Q$2:$Q$3</c:f>
              <c:numCache>
                <c:formatCode>General</c:formatCode>
                <c:ptCount val="2"/>
                <c:pt idx="0">
                  <c:v>15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90-4FB7-8C6B-9E92B673E03F}"/>
            </c:ext>
          </c:extLst>
        </c:ser>
        <c:ser>
          <c:idx val="16"/>
          <c:order val="16"/>
          <c:tx>
            <c:strRef>
              <c:f>長打比較圖!$R$1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59A14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長打比較圖!$R$2:$R$3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690-4FB7-8C6B-9E92B673E03F}"/>
            </c:ext>
          </c:extLst>
        </c:ser>
        <c:ser>
          <c:idx val="17"/>
          <c:order val="17"/>
          <c:tx>
            <c:strRef>
              <c:f>長打比較圖!$S$1</c:f>
              <c:strCache>
                <c:ptCount val="1"/>
                <c:pt idx="0">
                  <c:v>2018年</c:v>
                </c:pt>
              </c:strCache>
            </c:strRef>
          </c:tx>
          <c:spPr>
            <a:solidFill>
              <a:srgbClr val="F28E2B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長打比較圖!$S$2:$S$3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90-4FB7-8C6B-9E92B673E03F}"/>
            </c:ext>
          </c:extLst>
        </c:ser>
        <c:ser>
          <c:idx val="18"/>
          <c:order val="18"/>
          <c:tx>
            <c:strRef>
              <c:f>長打比較圖!$T$1</c:f>
              <c:strCache>
                <c:ptCount val="1"/>
                <c:pt idx="0">
                  <c:v>2019年</c:v>
                </c:pt>
              </c:strCache>
            </c:strRef>
          </c:tx>
          <c:spPr>
            <a:solidFill>
              <a:srgbClr val="B07AA1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長打比較圖!$A$2:$A$3</c:f>
              <c:strCache>
                <c:ptCount val="2"/>
                <c:pt idx="0">
                  <c:v>二壘安打</c:v>
                </c:pt>
                <c:pt idx="1">
                  <c:v>三壘安打</c:v>
                </c:pt>
              </c:strCache>
            </c:strRef>
          </c:cat>
          <c:val>
            <c:numRef>
              <c:f>長打比較圖!$T$2:$T$3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90-4FB7-8C6B-9E92B673E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848629088"/>
        <c:axId val="231261904"/>
      </c:barChart>
      <c:catAx>
        <c:axId val="848629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安打類型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261904"/>
        <c:crosses val="autoZero"/>
        <c:auto val="1"/>
        <c:lblAlgn val="ctr"/>
        <c:lblOffset val="100"/>
        <c:noMultiLvlLbl val="0"/>
      </c:catAx>
      <c:valAx>
        <c:axId val="23126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安打數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629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Ichiro </a:t>
            </a:r>
            <a:r>
              <a:rPr lang="zh-TW"/>
              <a:t>生涯打擊率趨勢（依球隊）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球隊打擊率趨勢!$A$2</c:f>
              <c:strCache>
                <c:ptCount val="1"/>
                <c:pt idx="0">
                  <c:v>年份</c:v>
                </c:pt>
              </c:strCache>
            </c:strRef>
          </c:tx>
          <c:spPr>
            <a:ln w="508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球隊打擊率趨勢!$A$3:$A$21</c:f>
              <c:numCache>
                <c:formatCode>General</c:formatCode>
                <c:ptCount val="1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7-42EA-9B45-7F45C4733DC6}"/>
            </c:ext>
          </c:extLst>
        </c:ser>
        <c:ser>
          <c:idx val="1"/>
          <c:order val="1"/>
          <c:tx>
            <c:strRef>
              <c:f>球隊打擊率趨勢!$B$2</c:f>
              <c:strCache>
                <c:ptCount val="1"/>
                <c:pt idx="0">
                  <c:v>SEA</c:v>
                </c:pt>
              </c:strCache>
            </c:strRef>
          </c:tx>
          <c:spPr>
            <a:ln w="508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球隊打擊率趨勢!$B$3:$B$21</c:f>
              <c:numCache>
                <c:formatCode>0.000</c:formatCode>
                <c:ptCount val="19"/>
                <c:pt idx="0">
                  <c:v>0.35</c:v>
                </c:pt>
                <c:pt idx="1">
                  <c:v>0.32100000000000001</c:v>
                </c:pt>
                <c:pt idx="2">
                  <c:v>0.312</c:v>
                </c:pt>
                <c:pt idx="3">
                  <c:v>0.372</c:v>
                </c:pt>
                <c:pt idx="4">
                  <c:v>0.30299999999999999</c:v>
                </c:pt>
                <c:pt idx="5">
                  <c:v>0.32200000000000001</c:v>
                </c:pt>
                <c:pt idx="6">
                  <c:v>0.35099999999999998</c:v>
                </c:pt>
                <c:pt idx="7">
                  <c:v>0.31</c:v>
                </c:pt>
                <c:pt idx="8">
                  <c:v>0.35199999999999998</c:v>
                </c:pt>
                <c:pt idx="9">
                  <c:v>0.315</c:v>
                </c:pt>
                <c:pt idx="10">
                  <c:v>0.27200000000000002</c:v>
                </c:pt>
                <c:pt idx="11">
                  <c:v>0.26100000000000001</c:v>
                </c:pt>
                <c:pt idx="17">
                  <c:v>0.20499999999999999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7-42EA-9B45-7F45C4733DC6}"/>
            </c:ext>
          </c:extLst>
        </c:ser>
        <c:ser>
          <c:idx val="2"/>
          <c:order val="2"/>
          <c:tx>
            <c:strRef>
              <c:f>球隊打擊率趨勢!$C$2</c:f>
              <c:strCache>
                <c:ptCount val="1"/>
                <c:pt idx="0">
                  <c:v>NYY</c:v>
                </c:pt>
              </c:strCache>
            </c:strRef>
          </c:tx>
          <c:spPr>
            <a:ln w="508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球隊打擊率趨勢!$C$3:$C$21</c:f>
              <c:numCache>
                <c:formatCode>0.000</c:formatCode>
                <c:ptCount val="19"/>
                <c:pt idx="11">
                  <c:v>0.32200000000000001</c:v>
                </c:pt>
                <c:pt idx="12">
                  <c:v>0.26200000000000001</c:v>
                </c:pt>
                <c:pt idx="13">
                  <c:v>0.28399999999999997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87-42EA-9B45-7F45C4733DC6}"/>
            </c:ext>
          </c:extLst>
        </c:ser>
        <c:ser>
          <c:idx val="3"/>
          <c:order val="3"/>
          <c:tx>
            <c:strRef>
              <c:f>球隊打擊率趨勢!$D$2</c:f>
              <c:strCache>
                <c:ptCount val="1"/>
                <c:pt idx="0">
                  <c:v>MIA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球隊打擊率趨勢!$D$3:$D$21</c:f>
              <c:numCache>
                <c:formatCode>0.000</c:formatCode>
                <c:ptCount val="19"/>
                <c:pt idx="14">
                  <c:v>0.22900000000000001</c:v>
                </c:pt>
                <c:pt idx="15">
                  <c:v>0.29099999999999998</c:v>
                </c:pt>
                <c:pt idx="16">
                  <c:v>0.255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7-42EA-9B45-7F45C4733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002448"/>
        <c:axId val="1789760784"/>
      </c:lineChart>
      <c:catAx>
        <c:axId val="1706002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89760784"/>
        <c:crosses val="autoZero"/>
        <c:auto val="1"/>
        <c:lblAlgn val="ctr"/>
        <c:lblOffset val="100"/>
        <c:noMultiLvlLbl val="0"/>
      </c:catAx>
      <c:valAx>
        <c:axId val="17897607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060024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38100</xdr:rowOff>
    </xdr:from>
    <xdr:to>
      <xdr:col>31</xdr:col>
      <xdr:colOff>279400</xdr:colOff>
      <xdr:row>30</xdr:row>
      <xdr:rowOff>63500</xdr:rowOff>
    </xdr:to>
    <xdr:graphicFrame macro="">
      <xdr:nvGraphicFramePr>
        <xdr:cNvPr id="2" name="二壘安打_vs_三壘安打">
          <a:extLst>
            <a:ext uri="{FF2B5EF4-FFF2-40B4-BE49-F238E27FC236}">
              <a16:creationId xmlns:a16="http://schemas.microsoft.com/office/drawing/2014/main" id="{2B589811-D3F5-DEB6-5E18-06BE2EE1B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24</xdr:col>
      <xdr:colOff>101600</xdr:colOff>
      <xdr:row>37</xdr:row>
      <xdr:rowOff>101600</xdr:rowOff>
    </xdr:to>
    <xdr:graphicFrame macro="">
      <xdr:nvGraphicFramePr>
        <xdr:cNvPr id="2" name="Ichiro球隊打擊率趨勢">
          <a:extLst>
            <a:ext uri="{FF2B5EF4-FFF2-40B4-BE49-F238E27FC236}">
              <a16:creationId xmlns:a16="http://schemas.microsoft.com/office/drawing/2014/main" id="{5576F565-C52A-B66D-951F-DA5694135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0462B-B301-4A1A-A6F1-1217865B9AD9}" name="LeagueFilter" displayName="LeagueFilter" ref="D1:D22" totalsRowShown="0" headerRowDxfId="0" dataDxfId="1" tableBorderDxfId="3">
  <autoFilter ref="D1:D22" xr:uid="{9DC0462B-B301-4A1A-A6F1-1217865B9AD9}"/>
  <tableColumns count="1">
    <tableColumn id="1" xr3:uid="{12183849-8F7E-4BEC-A192-532EE65C9798}" name="聯盟" dataDxfId="2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3FF7C1-2933-49F6-BA3E-F25F40E2AF5B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2bcc0b89-10e5-4f3e-bca3-b87cee1ed78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8DDD-8BD2-4404-9DE6-EDAD23B7375E}">
  <dimension ref="A1:AB22"/>
  <sheetViews>
    <sheetView tabSelected="1" workbookViewId="0">
      <selection activeCell="J26" sqref="J26"/>
    </sheetView>
  </sheetViews>
  <sheetFormatPr defaultRowHeight="17" x14ac:dyDescent="0.4"/>
  <cols>
    <col min="5" max="5" width="11.90625" customWidth="1"/>
    <col min="6" max="6" width="9.6328125" customWidth="1"/>
    <col min="9" max="9" width="9.6328125" customWidth="1"/>
    <col min="10" max="11" width="11.90625" customWidth="1"/>
    <col min="12" max="12" width="9.6328125" customWidth="1"/>
    <col min="14" max="15" width="11.90625" customWidth="1"/>
    <col min="16" max="16" width="14.1796875" customWidth="1"/>
    <col min="17" max="17" width="11.90625" customWidth="1"/>
    <col min="18" max="20" width="9.6328125" customWidth="1"/>
    <col min="21" max="21" width="16.453125" customWidth="1"/>
    <col min="22" max="22" width="18.26953125" customWidth="1"/>
    <col min="23" max="23" width="9.6328125" customWidth="1"/>
    <col min="24" max="24" width="11.90625" customWidth="1"/>
    <col min="25" max="25" width="9.6328125" customWidth="1"/>
    <col min="26" max="26" width="11.90625" customWidth="1"/>
    <col min="27" max="28" width="14.1796875" customWidth="1"/>
  </cols>
  <sheetData>
    <row r="1" spans="1:28" x14ac:dyDescent="0.4">
      <c r="A1" s="11" t="s">
        <v>4</v>
      </c>
      <c r="B1" s="12" t="s">
        <v>5</v>
      </c>
      <c r="C1" s="12" t="s">
        <v>6</v>
      </c>
      <c r="D1" s="21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2" t="s">
        <v>18</v>
      </c>
      <c r="P1" s="12" t="s">
        <v>19</v>
      </c>
      <c r="Q1" s="12" t="s">
        <v>20</v>
      </c>
      <c r="R1" s="12" t="s">
        <v>21</v>
      </c>
      <c r="S1" s="12" t="s">
        <v>22</v>
      </c>
      <c r="T1" s="12" t="s">
        <v>23</v>
      </c>
      <c r="U1" s="12" t="s">
        <v>24</v>
      </c>
      <c r="V1" s="12" t="s">
        <v>25</v>
      </c>
      <c r="W1" s="12" t="s">
        <v>26</v>
      </c>
      <c r="X1" s="12" t="s">
        <v>27</v>
      </c>
      <c r="Y1" s="12" t="s">
        <v>28</v>
      </c>
      <c r="Z1" s="12" t="s">
        <v>29</v>
      </c>
      <c r="AA1" s="12" t="s">
        <v>30</v>
      </c>
      <c r="AB1" s="17" t="s">
        <v>31</v>
      </c>
    </row>
    <row r="2" spans="1:28" x14ac:dyDescent="0.4">
      <c r="A2" s="13">
        <v>2001</v>
      </c>
      <c r="B2" s="14">
        <v>27</v>
      </c>
      <c r="C2" s="14" t="s">
        <v>0</v>
      </c>
      <c r="D2" s="14" t="s">
        <v>54</v>
      </c>
      <c r="E2" s="14">
        <v>157</v>
      </c>
      <c r="F2" s="14">
        <v>738</v>
      </c>
      <c r="G2" s="14">
        <v>692</v>
      </c>
      <c r="H2" s="14">
        <v>127</v>
      </c>
      <c r="I2" s="14">
        <v>242</v>
      </c>
      <c r="J2" s="14">
        <v>34</v>
      </c>
      <c r="K2" s="14">
        <v>8</v>
      </c>
      <c r="L2" s="14">
        <v>8</v>
      </c>
      <c r="M2" s="14">
        <v>69</v>
      </c>
      <c r="N2" s="18">
        <v>56</v>
      </c>
      <c r="O2" s="14">
        <v>14</v>
      </c>
      <c r="P2" s="14">
        <v>30</v>
      </c>
      <c r="Q2" s="14">
        <v>53</v>
      </c>
      <c r="R2" s="14">
        <v>0.35</v>
      </c>
      <c r="S2" s="14">
        <v>0.38100000000000001</v>
      </c>
      <c r="T2" s="14">
        <v>0.45700000000000002</v>
      </c>
      <c r="U2" s="14">
        <v>0.83799999999999997</v>
      </c>
      <c r="V2" s="14">
        <v>126</v>
      </c>
      <c r="W2" s="14">
        <v>316</v>
      </c>
      <c r="X2" s="14">
        <v>3</v>
      </c>
      <c r="Y2" s="14">
        <v>8</v>
      </c>
      <c r="Z2" s="14">
        <v>4</v>
      </c>
      <c r="AA2" s="14">
        <v>4</v>
      </c>
      <c r="AB2" s="19">
        <v>10</v>
      </c>
    </row>
    <row r="3" spans="1:28" x14ac:dyDescent="0.4">
      <c r="A3" s="13">
        <v>2002</v>
      </c>
      <c r="B3" s="14">
        <v>28</v>
      </c>
      <c r="C3" s="14" t="s">
        <v>0</v>
      </c>
      <c r="D3" s="14" t="s">
        <v>54</v>
      </c>
      <c r="E3" s="14">
        <v>157</v>
      </c>
      <c r="F3" s="14">
        <v>728</v>
      </c>
      <c r="G3" s="14">
        <v>647</v>
      </c>
      <c r="H3" s="14">
        <v>111</v>
      </c>
      <c r="I3" s="14">
        <v>208</v>
      </c>
      <c r="J3" s="14">
        <v>27</v>
      </c>
      <c r="K3" s="14">
        <v>8</v>
      </c>
      <c r="L3" s="14">
        <v>8</v>
      </c>
      <c r="M3" s="14">
        <v>51</v>
      </c>
      <c r="N3" s="14">
        <v>31</v>
      </c>
      <c r="O3" s="14">
        <v>15</v>
      </c>
      <c r="P3" s="14">
        <v>68</v>
      </c>
      <c r="Q3" s="14">
        <v>62</v>
      </c>
      <c r="R3" s="14">
        <v>0.32100000000000001</v>
      </c>
      <c r="S3" s="14">
        <v>0.38800000000000001</v>
      </c>
      <c r="T3" s="14">
        <v>0.42499999999999999</v>
      </c>
      <c r="U3" s="14">
        <v>0.81299999999999994</v>
      </c>
      <c r="V3" s="14">
        <v>120</v>
      </c>
      <c r="W3" s="14">
        <v>275</v>
      </c>
      <c r="X3" s="14">
        <v>8</v>
      </c>
      <c r="Y3" s="14">
        <v>5</v>
      </c>
      <c r="Z3" s="14">
        <v>3</v>
      </c>
      <c r="AA3" s="14">
        <v>5</v>
      </c>
      <c r="AB3" s="19">
        <v>27</v>
      </c>
    </row>
    <row r="4" spans="1:28" x14ac:dyDescent="0.4">
      <c r="A4" s="13">
        <v>2003</v>
      </c>
      <c r="B4" s="14">
        <v>29</v>
      </c>
      <c r="C4" s="14" t="s">
        <v>0</v>
      </c>
      <c r="D4" s="14" t="s">
        <v>54</v>
      </c>
      <c r="E4" s="14">
        <v>159</v>
      </c>
      <c r="F4" s="14">
        <v>725</v>
      </c>
      <c r="G4" s="14">
        <v>679</v>
      </c>
      <c r="H4" s="14">
        <v>111</v>
      </c>
      <c r="I4" s="14">
        <v>212</v>
      </c>
      <c r="J4" s="14">
        <v>29</v>
      </c>
      <c r="K4" s="14">
        <v>8</v>
      </c>
      <c r="L4" s="14">
        <v>13</v>
      </c>
      <c r="M4" s="14">
        <v>62</v>
      </c>
      <c r="N4" s="14">
        <v>34</v>
      </c>
      <c r="O4" s="14">
        <v>8</v>
      </c>
      <c r="P4" s="14">
        <v>36</v>
      </c>
      <c r="Q4" s="14">
        <v>69</v>
      </c>
      <c r="R4" s="14">
        <v>0.312</v>
      </c>
      <c r="S4" s="14">
        <v>0.35199999999999998</v>
      </c>
      <c r="T4" s="14">
        <v>0.436</v>
      </c>
      <c r="U4" s="14">
        <v>0.78800000000000003</v>
      </c>
      <c r="V4" s="14">
        <v>112</v>
      </c>
      <c r="W4" s="14">
        <v>296</v>
      </c>
      <c r="X4" s="14">
        <v>3</v>
      </c>
      <c r="Y4" s="14">
        <v>6</v>
      </c>
      <c r="Z4" s="14">
        <v>3</v>
      </c>
      <c r="AA4" s="14">
        <v>1</v>
      </c>
      <c r="AB4" s="19">
        <v>7</v>
      </c>
    </row>
    <row r="5" spans="1:28" x14ac:dyDescent="0.4">
      <c r="A5" s="13">
        <v>2004</v>
      </c>
      <c r="B5" s="14">
        <v>30</v>
      </c>
      <c r="C5" s="14" t="s">
        <v>0</v>
      </c>
      <c r="D5" s="14" t="s">
        <v>54</v>
      </c>
      <c r="E5" s="14">
        <v>161</v>
      </c>
      <c r="F5" s="14">
        <v>762</v>
      </c>
      <c r="G5" s="14">
        <v>704</v>
      </c>
      <c r="H5" s="14">
        <v>101</v>
      </c>
      <c r="I5" s="18">
        <v>262</v>
      </c>
      <c r="J5" s="14">
        <v>24</v>
      </c>
      <c r="K5" s="14">
        <v>5</v>
      </c>
      <c r="L5" s="14">
        <v>8</v>
      </c>
      <c r="M5" s="14">
        <v>60</v>
      </c>
      <c r="N5" s="14">
        <v>36</v>
      </c>
      <c r="O5" s="14">
        <v>11</v>
      </c>
      <c r="P5" s="14">
        <v>49</v>
      </c>
      <c r="Q5" s="14">
        <v>63</v>
      </c>
      <c r="R5" s="14">
        <v>0.372</v>
      </c>
      <c r="S5" s="14">
        <v>0.41399999999999998</v>
      </c>
      <c r="T5" s="14">
        <v>0.45500000000000002</v>
      </c>
      <c r="U5" s="14">
        <v>0.86899999999999999</v>
      </c>
      <c r="V5" s="14">
        <v>130</v>
      </c>
      <c r="W5" s="14">
        <v>320</v>
      </c>
      <c r="X5" s="14">
        <v>6</v>
      </c>
      <c r="Y5" s="14">
        <v>4</v>
      </c>
      <c r="Z5" s="14">
        <v>2</v>
      </c>
      <c r="AA5" s="14">
        <v>3</v>
      </c>
      <c r="AB5" s="19">
        <v>19</v>
      </c>
    </row>
    <row r="6" spans="1:28" x14ac:dyDescent="0.4">
      <c r="A6" s="13">
        <v>2005</v>
      </c>
      <c r="B6" s="14">
        <v>31</v>
      </c>
      <c r="C6" s="14" t="s">
        <v>0</v>
      </c>
      <c r="D6" s="14" t="s">
        <v>54</v>
      </c>
      <c r="E6" s="14">
        <v>162</v>
      </c>
      <c r="F6" s="14">
        <v>739</v>
      </c>
      <c r="G6" s="14">
        <v>679</v>
      </c>
      <c r="H6" s="14">
        <v>111</v>
      </c>
      <c r="I6" s="14">
        <v>206</v>
      </c>
      <c r="J6" s="14">
        <v>21</v>
      </c>
      <c r="K6" s="14">
        <v>12</v>
      </c>
      <c r="L6" s="18">
        <v>15</v>
      </c>
      <c r="M6" s="14">
        <v>68</v>
      </c>
      <c r="N6" s="14">
        <v>33</v>
      </c>
      <c r="O6" s="14">
        <v>8</v>
      </c>
      <c r="P6" s="14">
        <v>48</v>
      </c>
      <c r="Q6" s="14">
        <v>66</v>
      </c>
      <c r="R6" s="14">
        <v>0.30299999999999999</v>
      </c>
      <c r="S6" s="14">
        <v>0.35</v>
      </c>
      <c r="T6" s="14">
        <v>0.436</v>
      </c>
      <c r="U6" s="14">
        <v>0.78600000000000003</v>
      </c>
      <c r="V6" s="14">
        <v>113</v>
      </c>
      <c r="W6" s="14">
        <v>296</v>
      </c>
      <c r="X6" s="14">
        <v>5</v>
      </c>
      <c r="Y6" s="14">
        <v>4</v>
      </c>
      <c r="Z6" s="14">
        <v>2</v>
      </c>
      <c r="AA6" s="14">
        <v>6</v>
      </c>
      <c r="AB6" s="19">
        <v>23</v>
      </c>
    </row>
    <row r="7" spans="1:28" x14ac:dyDescent="0.4">
      <c r="A7" s="13">
        <v>2006</v>
      </c>
      <c r="B7" s="14">
        <v>32</v>
      </c>
      <c r="C7" s="14" t="s">
        <v>0</v>
      </c>
      <c r="D7" s="14" t="s">
        <v>54</v>
      </c>
      <c r="E7" s="14">
        <v>161</v>
      </c>
      <c r="F7" s="14">
        <v>752</v>
      </c>
      <c r="G7" s="14">
        <v>695</v>
      </c>
      <c r="H7" s="14">
        <v>110</v>
      </c>
      <c r="I7" s="14">
        <v>224</v>
      </c>
      <c r="J7" s="14">
        <v>20</v>
      </c>
      <c r="K7" s="14">
        <v>9</v>
      </c>
      <c r="L7" s="14">
        <v>9</v>
      </c>
      <c r="M7" s="14">
        <v>49</v>
      </c>
      <c r="N7" s="14">
        <v>45</v>
      </c>
      <c r="O7" s="14">
        <v>2</v>
      </c>
      <c r="P7" s="14">
        <v>49</v>
      </c>
      <c r="Q7" s="14">
        <v>71</v>
      </c>
      <c r="R7" s="14">
        <v>0.32200000000000001</v>
      </c>
      <c r="S7" s="14">
        <v>0.37</v>
      </c>
      <c r="T7" s="14">
        <v>0.41599999999999998</v>
      </c>
      <c r="U7" s="14">
        <v>0.78600000000000003</v>
      </c>
      <c r="V7" s="14">
        <v>106</v>
      </c>
      <c r="W7" s="14">
        <v>289</v>
      </c>
      <c r="X7" s="14">
        <v>2</v>
      </c>
      <c r="Y7" s="14">
        <v>5</v>
      </c>
      <c r="Z7" s="14">
        <v>1</v>
      </c>
      <c r="AA7" s="14">
        <v>2</v>
      </c>
      <c r="AB7" s="19">
        <v>16</v>
      </c>
    </row>
    <row r="8" spans="1:28" x14ac:dyDescent="0.4">
      <c r="A8" s="13">
        <v>2007</v>
      </c>
      <c r="B8" s="14">
        <v>33</v>
      </c>
      <c r="C8" s="14" t="s">
        <v>0</v>
      </c>
      <c r="D8" s="14" t="s">
        <v>54</v>
      </c>
      <c r="E8" s="14">
        <v>161</v>
      </c>
      <c r="F8" s="14">
        <v>736</v>
      </c>
      <c r="G8" s="14">
        <v>678</v>
      </c>
      <c r="H8" s="14">
        <v>111</v>
      </c>
      <c r="I8" s="14">
        <v>238</v>
      </c>
      <c r="J8" s="14">
        <v>22</v>
      </c>
      <c r="K8" s="14">
        <v>7</v>
      </c>
      <c r="L8" s="14">
        <v>6</v>
      </c>
      <c r="M8" s="14">
        <v>68</v>
      </c>
      <c r="N8" s="14">
        <v>37</v>
      </c>
      <c r="O8" s="14">
        <v>8</v>
      </c>
      <c r="P8" s="14">
        <v>49</v>
      </c>
      <c r="Q8" s="14">
        <v>77</v>
      </c>
      <c r="R8" s="14">
        <v>0.35099999999999998</v>
      </c>
      <c r="S8" s="14">
        <v>0.39600000000000002</v>
      </c>
      <c r="T8" s="14">
        <v>0.43099999999999999</v>
      </c>
      <c r="U8" s="14">
        <v>0.82699999999999996</v>
      </c>
      <c r="V8" s="14">
        <v>122</v>
      </c>
      <c r="W8" s="14">
        <v>292</v>
      </c>
      <c r="X8" s="14">
        <v>7</v>
      </c>
      <c r="Y8" s="14">
        <v>3</v>
      </c>
      <c r="Z8" s="14">
        <v>4</v>
      </c>
      <c r="AA8" s="14">
        <v>2</v>
      </c>
      <c r="AB8" s="19">
        <v>13</v>
      </c>
    </row>
    <row r="9" spans="1:28" x14ac:dyDescent="0.4">
      <c r="A9" s="13">
        <v>2008</v>
      </c>
      <c r="B9" s="14">
        <v>34</v>
      </c>
      <c r="C9" s="14" t="s">
        <v>0</v>
      </c>
      <c r="D9" s="14" t="s">
        <v>54</v>
      </c>
      <c r="E9" s="14">
        <v>162</v>
      </c>
      <c r="F9" s="14">
        <v>749</v>
      </c>
      <c r="G9" s="14">
        <v>686</v>
      </c>
      <c r="H9" s="14">
        <v>103</v>
      </c>
      <c r="I9" s="14">
        <v>213</v>
      </c>
      <c r="J9" s="14">
        <v>20</v>
      </c>
      <c r="K9" s="14">
        <v>7</v>
      </c>
      <c r="L9" s="14">
        <v>6</v>
      </c>
      <c r="M9" s="14">
        <v>42</v>
      </c>
      <c r="N9" s="14">
        <v>43</v>
      </c>
      <c r="O9" s="14">
        <v>4</v>
      </c>
      <c r="P9" s="14">
        <v>51</v>
      </c>
      <c r="Q9" s="14">
        <v>65</v>
      </c>
      <c r="R9" s="14">
        <v>0.31</v>
      </c>
      <c r="S9" s="14">
        <v>0.36099999999999999</v>
      </c>
      <c r="T9" s="14">
        <v>0.38600000000000001</v>
      </c>
      <c r="U9" s="14">
        <v>0.747</v>
      </c>
      <c r="V9" s="14">
        <v>102</v>
      </c>
      <c r="W9" s="14">
        <v>265</v>
      </c>
      <c r="X9" s="14">
        <v>8</v>
      </c>
      <c r="Y9" s="14">
        <v>5</v>
      </c>
      <c r="Z9" s="14">
        <v>3</v>
      </c>
      <c r="AA9" s="14">
        <v>4</v>
      </c>
      <c r="AB9" s="19">
        <v>12</v>
      </c>
    </row>
    <row r="10" spans="1:28" x14ac:dyDescent="0.4">
      <c r="A10" s="13">
        <v>2009</v>
      </c>
      <c r="B10" s="14">
        <v>35</v>
      </c>
      <c r="C10" s="14" t="s">
        <v>0</v>
      </c>
      <c r="D10" s="14" t="s">
        <v>54</v>
      </c>
      <c r="E10" s="14">
        <v>146</v>
      </c>
      <c r="F10" s="14">
        <v>678</v>
      </c>
      <c r="G10" s="14">
        <v>639</v>
      </c>
      <c r="H10" s="14">
        <v>88</v>
      </c>
      <c r="I10" s="14">
        <v>225</v>
      </c>
      <c r="J10" s="14">
        <v>31</v>
      </c>
      <c r="K10" s="14">
        <v>4</v>
      </c>
      <c r="L10" s="14">
        <v>11</v>
      </c>
      <c r="M10" s="14">
        <v>46</v>
      </c>
      <c r="N10" s="14">
        <v>26</v>
      </c>
      <c r="O10" s="14">
        <v>9</v>
      </c>
      <c r="P10" s="14">
        <v>32</v>
      </c>
      <c r="Q10" s="14">
        <v>71</v>
      </c>
      <c r="R10" s="14">
        <v>0.35199999999999998</v>
      </c>
      <c r="S10" s="14">
        <v>0.38600000000000001</v>
      </c>
      <c r="T10" s="14">
        <v>0.46500000000000002</v>
      </c>
      <c r="U10" s="14">
        <v>0.85099999999999998</v>
      </c>
      <c r="V10" s="14">
        <v>129</v>
      </c>
      <c r="W10" s="14">
        <v>297</v>
      </c>
      <c r="X10" s="14">
        <v>1</v>
      </c>
      <c r="Y10" s="14">
        <v>4</v>
      </c>
      <c r="Z10" s="14">
        <v>2</v>
      </c>
      <c r="AA10" s="14">
        <v>1</v>
      </c>
      <c r="AB10" s="19">
        <v>15</v>
      </c>
    </row>
    <row r="11" spans="1:28" x14ac:dyDescent="0.4">
      <c r="A11" s="13">
        <v>2010</v>
      </c>
      <c r="B11" s="14">
        <v>36</v>
      </c>
      <c r="C11" s="14" t="s">
        <v>0</v>
      </c>
      <c r="D11" s="14" t="s">
        <v>54</v>
      </c>
      <c r="E11" s="14">
        <v>162</v>
      </c>
      <c r="F11" s="14">
        <v>732</v>
      </c>
      <c r="G11" s="14">
        <v>680</v>
      </c>
      <c r="H11" s="14">
        <v>74</v>
      </c>
      <c r="I11" s="14">
        <v>214</v>
      </c>
      <c r="J11" s="14">
        <v>30</v>
      </c>
      <c r="K11" s="14">
        <v>3</v>
      </c>
      <c r="L11" s="14">
        <v>6</v>
      </c>
      <c r="M11" s="14">
        <v>43</v>
      </c>
      <c r="N11" s="14">
        <v>42</v>
      </c>
      <c r="O11" s="14">
        <v>9</v>
      </c>
      <c r="P11" s="14">
        <v>45</v>
      </c>
      <c r="Q11" s="14">
        <v>86</v>
      </c>
      <c r="R11" s="14">
        <v>0.315</v>
      </c>
      <c r="S11" s="14">
        <v>0.35899999999999999</v>
      </c>
      <c r="T11" s="14">
        <v>0.39400000000000002</v>
      </c>
      <c r="U11" s="14">
        <v>0.754</v>
      </c>
      <c r="V11" s="14">
        <v>113</v>
      </c>
      <c r="W11" s="14">
        <v>268</v>
      </c>
      <c r="X11" s="14">
        <v>3</v>
      </c>
      <c r="Y11" s="14">
        <v>3</v>
      </c>
      <c r="Z11" s="14">
        <v>3</v>
      </c>
      <c r="AA11" s="14">
        <v>1</v>
      </c>
      <c r="AB11" s="19">
        <v>13</v>
      </c>
    </row>
    <row r="12" spans="1:28" x14ac:dyDescent="0.4">
      <c r="A12" s="13">
        <v>2011</v>
      </c>
      <c r="B12" s="14">
        <v>37</v>
      </c>
      <c r="C12" s="14" t="s">
        <v>0</v>
      </c>
      <c r="D12" s="14" t="s">
        <v>54</v>
      </c>
      <c r="E12" s="14">
        <v>161</v>
      </c>
      <c r="F12" s="14">
        <v>721</v>
      </c>
      <c r="G12" s="14">
        <v>677</v>
      </c>
      <c r="H12" s="14">
        <v>80</v>
      </c>
      <c r="I12" s="14">
        <v>184</v>
      </c>
      <c r="J12" s="14">
        <v>22</v>
      </c>
      <c r="K12" s="14">
        <v>3</v>
      </c>
      <c r="L12" s="14">
        <v>5</v>
      </c>
      <c r="M12" s="14">
        <v>47</v>
      </c>
      <c r="N12" s="14">
        <v>40</v>
      </c>
      <c r="O12" s="14">
        <v>7</v>
      </c>
      <c r="P12" s="14">
        <v>39</v>
      </c>
      <c r="Q12" s="14">
        <v>69</v>
      </c>
      <c r="R12" s="14">
        <v>0.27200000000000002</v>
      </c>
      <c r="S12" s="14">
        <v>0.31</v>
      </c>
      <c r="T12" s="14">
        <v>0.33500000000000002</v>
      </c>
      <c r="U12" s="14">
        <v>0.64500000000000002</v>
      </c>
      <c r="V12" s="14">
        <v>86</v>
      </c>
      <c r="W12" s="14">
        <v>227</v>
      </c>
      <c r="X12" s="14">
        <v>11</v>
      </c>
      <c r="Y12" s="14">
        <v>0</v>
      </c>
      <c r="Z12" s="14">
        <v>1</v>
      </c>
      <c r="AA12" s="14">
        <v>4</v>
      </c>
      <c r="AB12" s="19">
        <v>13</v>
      </c>
    </row>
    <row r="13" spans="1:28" x14ac:dyDescent="0.4">
      <c r="A13" s="13">
        <v>2012</v>
      </c>
      <c r="B13" s="14">
        <v>38</v>
      </c>
      <c r="C13" s="22" t="s">
        <v>1</v>
      </c>
      <c r="D13" s="14" t="s">
        <v>54</v>
      </c>
      <c r="E13" s="14">
        <v>162</v>
      </c>
      <c r="F13" s="14">
        <v>663</v>
      </c>
      <c r="G13" s="14">
        <v>629</v>
      </c>
      <c r="H13" s="14">
        <v>77</v>
      </c>
      <c r="I13" s="14">
        <v>178</v>
      </c>
      <c r="J13" s="14">
        <v>28</v>
      </c>
      <c r="K13" s="14">
        <v>6</v>
      </c>
      <c r="L13" s="14">
        <v>9</v>
      </c>
      <c r="M13" s="14">
        <v>55</v>
      </c>
      <c r="N13" s="14">
        <v>29</v>
      </c>
      <c r="O13" s="14">
        <v>7</v>
      </c>
      <c r="P13" s="14">
        <v>22</v>
      </c>
      <c r="Q13" s="14">
        <v>61</v>
      </c>
      <c r="R13" s="14">
        <v>0.28299999999999997</v>
      </c>
      <c r="S13" s="14">
        <v>0.307</v>
      </c>
      <c r="T13" s="14">
        <v>0.39</v>
      </c>
      <c r="U13" s="14">
        <v>0.69599999999999995</v>
      </c>
      <c r="V13" s="14">
        <v>93</v>
      </c>
      <c r="W13" s="14">
        <v>245</v>
      </c>
      <c r="X13" s="14">
        <v>12</v>
      </c>
      <c r="Y13" s="14">
        <v>2</v>
      </c>
      <c r="Z13" s="14">
        <v>5</v>
      </c>
      <c r="AA13" s="14">
        <v>5</v>
      </c>
      <c r="AB13" s="19">
        <v>5</v>
      </c>
    </row>
    <row r="14" spans="1:28" x14ac:dyDescent="0.4">
      <c r="A14" s="13">
        <v>2012</v>
      </c>
      <c r="B14" s="14">
        <v>38</v>
      </c>
      <c r="C14" s="14" t="s">
        <v>0</v>
      </c>
      <c r="D14" s="14" t="s">
        <v>54</v>
      </c>
      <c r="E14" s="14">
        <v>95</v>
      </c>
      <c r="F14" s="14">
        <v>423</v>
      </c>
      <c r="G14" s="14">
        <v>402</v>
      </c>
      <c r="H14" s="14">
        <v>49</v>
      </c>
      <c r="I14" s="14">
        <v>105</v>
      </c>
      <c r="J14" s="14">
        <v>15</v>
      </c>
      <c r="K14" s="14">
        <v>5</v>
      </c>
      <c r="L14" s="14">
        <v>4</v>
      </c>
      <c r="M14" s="14">
        <v>28</v>
      </c>
      <c r="N14" s="14">
        <v>15</v>
      </c>
      <c r="O14" s="14">
        <v>2</v>
      </c>
      <c r="P14" s="14">
        <v>17</v>
      </c>
      <c r="Q14" s="14">
        <v>40</v>
      </c>
      <c r="R14" s="14">
        <v>0.26100000000000001</v>
      </c>
      <c r="S14" s="14">
        <v>0.28799999999999998</v>
      </c>
      <c r="T14" s="14">
        <v>0.35299999999999998</v>
      </c>
      <c r="U14" s="14">
        <v>0.64200000000000002</v>
      </c>
      <c r="V14" s="14">
        <v>82</v>
      </c>
      <c r="W14" s="14">
        <v>142</v>
      </c>
      <c r="X14" s="14">
        <v>10</v>
      </c>
      <c r="Y14" s="14">
        <v>0</v>
      </c>
      <c r="Z14" s="14">
        <v>0</v>
      </c>
      <c r="AA14" s="14">
        <v>4</v>
      </c>
      <c r="AB14" s="19">
        <v>4</v>
      </c>
    </row>
    <row r="15" spans="1:28" x14ac:dyDescent="0.4">
      <c r="A15" s="13">
        <v>2012</v>
      </c>
      <c r="B15" s="14">
        <v>38</v>
      </c>
      <c r="C15" s="14" t="s">
        <v>2</v>
      </c>
      <c r="D15" s="14" t="s">
        <v>54</v>
      </c>
      <c r="E15" s="14">
        <v>67</v>
      </c>
      <c r="F15" s="14">
        <v>240</v>
      </c>
      <c r="G15" s="14">
        <v>227</v>
      </c>
      <c r="H15" s="14">
        <v>28</v>
      </c>
      <c r="I15" s="14">
        <v>73</v>
      </c>
      <c r="J15" s="14">
        <v>13</v>
      </c>
      <c r="K15" s="14">
        <v>1</v>
      </c>
      <c r="L15" s="14">
        <v>5</v>
      </c>
      <c r="M15" s="14">
        <v>27</v>
      </c>
      <c r="N15" s="14">
        <v>14</v>
      </c>
      <c r="O15" s="14">
        <v>5</v>
      </c>
      <c r="P15" s="14">
        <v>5</v>
      </c>
      <c r="Q15" s="14">
        <v>21</v>
      </c>
      <c r="R15" s="14">
        <v>0.32200000000000001</v>
      </c>
      <c r="S15" s="14">
        <v>0.34</v>
      </c>
      <c r="T15" s="14">
        <v>0.45400000000000001</v>
      </c>
      <c r="U15" s="14">
        <v>0.79400000000000004</v>
      </c>
      <c r="V15" s="14">
        <v>113</v>
      </c>
      <c r="W15" s="14">
        <v>103</v>
      </c>
      <c r="X15" s="14">
        <v>2</v>
      </c>
      <c r="Y15" s="14">
        <v>2</v>
      </c>
      <c r="Z15" s="14">
        <v>5</v>
      </c>
      <c r="AA15" s="14">
        <v>1</v>
      </c>
      <c r="AB15" s="19">
        <v>1</v>
      </c>
    </row>
    <row r="16" spans="1:28" x14ac:dyDescent="0.4">
      <c r="A16" s="13">
        <v>2013</v>
      </c>
      <c r="B16" s="14">
        <v>39</v>
      </c>
      <c r="C16" s="14" t="s">
        <v>2</v>
      </c>
      <c r="D16" s="14" t="s">
        <v>54</v>
      </c>
      <c r="E16" s="14">
        <v>150</v>
      </c>
      <c r="F16" s="14">
        <v>555</v>
      </c>
      <c r="G16" s="14">
        <v>520</v>
      </c>
      <c r="H16" s="14">
        <v>57</v>
      </c>
      <c r="I16" s="14">
        <v>136</v>
      </c>
      <c r="J16" s="14">
        <v>15</v>
      </c>
      <c r="K16" s="14">
        <v>3</v>
      </c>
      <c r="L16" s="14">
        <v>7</v>
      </c>
      <c r="M16" s="14">
        <v>35</v>
      </c>
      <c r="N16" s="14">
        <v>20</v>
      </c>
      <c r="O16" s="14">
        <v>4</v>
      </c>
      <c r="P16" s="14">
        <v>26</v>
      </c>
      <c r="Q16" s="14">
        <v>63</v>
      </c>
      <c r="R16" s="14">
        <v>0.26200000000000001</v>
      </c>
      <c r="S16" s="14">
        <v>0.29699999999999999</v>
      </c>
      <c r="T16" s="14">
        <v>0.34200000000000003</v>
      </c>
      <c r="U16" s="14">
        <v>0.63900000000000001</v>
      </c>
      <c r="V16" s="14">
        <v>77</v>
      </c>
      <c r="W16" s="14">
        <v>178</v>
      </c>
      <c r="X16" s="14">
        <v>6</v>
      </c>
      <c r="Y16" s="14">
        <v>1</v>
      </c>
      <c r="Z16" s="14">
        <v>6</v>
      </c>
      <c r="AA16" s="14">
        <v>2</v>
      </c>
      <c r="AB16" s="19">
        <v>4</v>
      </c>
    </row>
    <row r="17" spans="1:28" x14ac:dyDescent="0.4">
      <c r="A17" s="13">
        <v>2014</v>
      </c>
      <c r="B17" s="14">
        <v>40</v>
      </c>
      <c r="C17" s="14" t="s">
        <v>2</v>
      </c>
      <c r="D17" s="14" t="s">
        <v>54</v>
      </c>
      <c r="E17" s="14">
        <v>143</v>
      </c>
      <c r="F17" s="14">
        <v>385</v>
      </c>
      <c r="G17" s="14">
        <v>359</v>
      </c>
      <c r="H17" s="14">
        <v>42</v>
      </c>
      <c r="I17" s="14">
        <v>102</v>
      </c>
      <c r="J17" s="14">
        <v>13</v>
      </c>
      <c r="K17" s="14">
        <v>2</v>
      </c>
      <c r="L17" s="14">
        <v>1</v>
      </c>
      <c r="M17" s="14">
        <v>22</v>
      </c>
      <c r="N17" s="14">
        <v>15</v>
      </c>
      <c r="O17" s="14">
        <v>3</v>
      </c>
      <c r="P17" s="14">
        <v>21</v>
      </c>
      <c r="Q17" s="14">
        <v>68</v>
      </c>
      <c r="R17" s="14">
        <v>0.28399999999999997</v>
      </c>
      <c r="S17" s="14">
        <v>0.32400000000000001</v>
      </c>
      <c r="T17" s="14">
        <v>0.34</v>
      </c>
      <c r="U17" s="14">
        <v>0.66400000000000003</v>
      </c>
      <c r="V17" s="14">
        <v>89</v>
      </c>
      <c r="W17" s="14">
        <v>122</v>
      </c>
      <c r="X17" s="14">
        <v>3</v>
      </c>
      <c r="Y17" s="14">
        <v>1</v>
      </c>
      <c r="Z17" s="14">
        <v>2</v>
      </c>
      <c r="AA17" s="14">
        <v>2</v>
      </c>
      <c r="AB17" s="19">
        <v>1</v>
      </c>
    </row>
    <row r="18" spans="1:28" x14ac:dyDescent="0.4">
      <c r="A18" s="13">
        <v>2015</v>
      </c>
      <c r="B18" s="14">
        <v>41</v>
      </c>
      <c r="C18" s="14" t="s">
        <v>3</v>
      </c>
      <c r="D18" s="14" t="s">
        <v>55</v>
      </c>
      <c r="E18" s="14">
        <v>153</v>
      </c>
      <c r="F18" s="14">
        <v>438</v>
      </c>
      <c r="G18" s="14">
        <v>398</v>
      </c>
      <c r="H18" s="14">
        <v>45</v>
      </c>
      <c r="I18" s="14">
        <v>91</v>
      </c>
      <c r="J18" s="14">
        <v>5</v>
      </c>
      <c r="K18" s="14">
        <v>6</v>
      </c>
      <c r="L18" s="14">
        <v>1</v>
      </c>
      <c r="M18" s="14">
        <v>21</v>
      </c>
      <c r="N18" s="14">
        <v>11</v>
      </c>
      <c r="O18" s="14">
        <v>5</v>
      </c>
      <c r="P18" s="14">
        <v>31</v>
      </c>
      <c r="Q18" s="14">
        <v>51</v>
      </c>
      <c r="R18" s="14">
        <v>0.22900000000000001</v>
      </c>
      <c r="S18" s="14">
        <v>0.28199999999999997</v>
      </c>
      <c r="T18" s="14">
        <v>0.27900000000000003</v>
      </c>
      <c r="U18" s="14">
        <v>0.56100000000000005</v>
      </c>
      <c r="V18" s="14">
        <v>58</v>
      </c>
      <c r="W18" s="14">
        <v>111</v>
      </c>
      <c r="X18" s="14">
        <v>8</v>
      </c>
      <c r="Y18" s="14">
        <v>0</v>
      </c>
      <c r="Z18" s="14">
        <v>5</v>
      </c>
      <c r="AA18" s="14">
        <v>4</v>
      </c>
      <c r="AB18" s="19">
        <v>1</v>
      </c>
    </row>
    <row r="19" spans="1:28" x14ac:dyDescent="0.4">
      <c r="A19" s="13">
        <v>2016</v>
      </c>
      <c r="B19" s="14">
        <v>42</v>
      </c>
      <c r="C19" s="14" t="s">
        <v>3</v>
      </c>
      <c r="D19" s="14" t="s">
        <v>55</v>
      </c>
      <c r="E19" s="14">
        <v>143</v>
      </c>
      <c r="F19" s="14">
        <v>365</v>
      </c>
      <c r="G19" s="14">
        <v>327</v>
      </c>
      <c r="H19" s="14">
        <v>48</v>
      </c>
      <c r="I19" s="14">
        <v>95</v>
      </c>
      <c r="J19" s="14">
        <v>15</v>
      </c>
      <c r="K19" s="14">
        <v>5</v>
      </c>
      <c r="L19" s="14">
        <v>1</v>
      </c>
      <c r="M19" s="14">
        <v>22</v>
      </c>
      <c r="N19" s="14">
        <v>10</v>
      </c>
      <c r="O19" s="14">
        <v>2</v>
      </c>
      <c r="P19" s="14">
        <v>30</v>
      </c>
      <c r="Q19" s="14">
        <v>42</v>
      </c>
      <c r="R19" s="14">
        <v>0.29099999999999998</v>
      </c>
      <c r="S19" s="14">
        <v>0.35399999999999998</v>
      </c>
      <c r="T19" s="14">
        <v>0.376</v>
      </c>
      <c r="U19" s="14">
        <v>0.73</v>
      </c>
      <c r="V19" s="14">
        <v>102</v>
      </c>
      <c r="W19" s="14">
        <v>123</v>
      </c>
      <c r="X19" s="14">
        <v>4</v>
      </c>
      <c r="Y19" s="14">
        <v>3</v>
      </c>
      <c r="Z19" s="14">
        <v>3</v>
      </c>
      <c r="AA19" s="14">
        <v>2</v>
      </c>
      <c r="AB19" s="19">
        <v>1</v>
      </c>
    </row>
    <row r="20" spans="1:28" x14ac:dyDescent="0.4">
      <c r="A20" s="13">
        <v>2017</v>
      </c>
      <c r="B20" s="14">
        <v>43</v>
      </c>
      <c r="C20" s="14" t="s">
        <v>3</v>
      </c>
      <c r="D20" s="14" t="s">
        <v>55</v>
      </c>
      <c r="E20" s="14">
        <v>136</v>
      </c>
      <c r="F20" s="14">
        <v>215</v>
      </c>
      <c r="G20" s="14">
        <v>196</v>
      </c>
      <c r="H20" s="14">
        <v>19</v>
      </c>
      <c r="I20" s="14">
        <v>50</v>
      </c>
      <c r="J20" s="14">
        <v>6</v>
      </c>
      <c r="K20" s="14">
        <v>0</v>
      </c>
      <c r="L20" s="14">
        <v>3</v>
      </c>
      <c r="M20" s="14">
        <v>20</v>
      </c>
      <c r="N20" s="14">
        <v>1</v>
      </c>
      <c r="O20" s="14">
        <v>1</v>
      </c>
      <c r="P20" s="14">
        <v>17</v>
      </c>
      <c r="Q20" s="14">
        <v>35</v>
      </c>
      <c r="R20" s="14">
        <v>0.255</v>
      </c>
      <c r="S20" s="14">
        <v>0.318</v>
      </c>
      <c r="T20" s="14">
        <v>0.33200000000000002</v>
      </c>
      <c r="U20" s="14">
        <v>0.64900000000000002</v>
      </c>
      <c r="V20" s="14">
        <v>79</v>
      </c>
      <c r="W20" s="14">
        <v>65</v>
      </c>
      <c r="X20" s="14">
        <v>2</v>
      </c>
      <c r="Y20" s="14">
        <v>1</v>
      </c>
      <c r="Z20" s="14">
        <v>1</v>
      </c>
      <c r="AA20" s="14">
        <v>0</v>
      </c>
      <c r="AB20" s="19">
        <v>1</v>
      </c>
    </row>
    <row r="21" spans="1:28" x14ac:dyDescent="0.4">
      <c r="A21" s="13">
        <v>2018</v>
      </c>
      <c r="B21" s="14">
        <v>44</v>
      </c>
      <c r="C21" s="14" t="s">
        <v>0</v>
      </c>
      <c r="D21" s="14" t="s">
        <v>54</v>
      </c>
      <c r="E21" s="14">
        <v>15</v>
      </c>
      <c r="F21" s="14">
        <v>47</v>
      </c>
      <c r="G21" s="14">
        <v>44</v>
      </c>
      <c r="H21" s="14">
        <v>5</v>
      </c>
      <c r="I21" s="14">
        <v>9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3</v>
      </c>
      <c r="Q21" s="14">
        <v>7</v>
      </c>
      <c r="R21" s="14">
        <v>0.20499999999999999</v>
      </c>
      <c r="S21" s="14">
        <v>0.255</v>
      </c>
      <c r="T21" s="14">
        <v>0.20499999999999999</v>
      </c>
      <c r="U21" s="14">
        <v>0.46</v>
      </c>
      <c r="V21" s="14">
        <v>33</v>
      </c>
      <c r="W21" s="14">
        <v>9</v>
      </c>
      <c r="X21" s="14">
        <v>0</v>
      </c>
      <c r="Y21" s="14">
        <v>0</v>
      </c>
      <c r="Z21" s="14">
        <v>0</v>
      </c>
      <c r="AA21" s="14">
        <v>0</v>
      </c>
      <c r="AB21" s="19">
        <v>0</v>
      </c>
    </row>
    <row r="22" spans="1:28" x14ac:dyDescent="0.4">
      <c r="A22" s="15">
        <v>2019</v>
      </c>
      <c r="B22" s="16">
        <v>45</v>
      </c>
      <c r="C22" s="16" t="s">
        <v>0</v>
      </c>
      <c r="D22" s="14" t="s">
        <v>54</v>
      </c>
      <c r="E22" s="16">
        <v>2</v>
      </c>
      <c r="F22" s="16">
        <v>6</v>
      </c>
      <c r="G22" s="16">
        <v>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1</v>
      </c>
      <c r="Q22" s="16">
        <v>1</v>
      </c>
      <c r="R22" s="16">
        <v>0</v>
      </c>
      <c r="S22" s="16">
        <v>0.16700000000000001</v>
      </c>
      <c r="T22" s="16">
        <v>0</v>
      </c>
      <c r="U22" s="16">
        <v>0.16700000000000001</v>
      </c>
      <c r="V22" s="16">
        <v>-47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20">
        <v>0</v>
      </c>
    </row>
  </sheetData>
  <phoneticPr fontId="18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38D8-4FED-4CF4-BADD-4F88C1BDA263}">
  <sheetPr>
    <tabColor rgb="FF4472C4"/>
  </sheetPr>
  <dimension ref="A1:T3"/>
  <sheetViews>
    <sheetView workbookViewId="0"/>
  </sheetViews>
  <sheetFormatPr defaultRowHeight="17" x14ac:dyDescent="0.4"/>
  <sheetData>
    <row r="1" spans="1:20" x14ac:dyDescent="0.4">
      <c r="A1" s="1" t="s">
        <v>51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</row>
    <row r="2" spans="1:20" x14ac:dyDescent="0.4">
      <c r="A2" s="2" t="s">
        <v>13</v>
      </c>
      <c r="B2" s="3">
        <f>Ichiro!J2</f>
        <v>34</v>
      </c>
      <c r="C2" s="3">
        <f>Ichiro!J3</f>
        <v>27</v>
      </c>
      <c r="D2" s="3">
        <f>Ichiro!J4</f>
        <v>29</v>
      </c>
      <c r="E2" s="3">
        <f>Ichiro!J5</f>
        <v>24</v>
      </c>
      <c r="F2" s="3">
        <f>Ichiro!J6</f>
        <v>21</v>
      </c>
      <c r="G2" s="3">
        <f>Ichiro!J7</f>
        <v>20</v>
      </c>
      <c r="H2" s="3">
        <f>Ichiro!J8</f>
        <v>22</v>
      </c>
      <c r="I2" s="3">
        <f>Ichiro!J9</f>
        <v>20</v>
      </c>
      <c r="J2" s="3">
        <f>Ichiro!J10</f>
        <v>31</v>
      </c>
      <c r="K2" s="3">
        <f>Ichiro!J11</f>
        <v>30</v>
      </c>
      <c r="L2" s="3">
        <f>Ichiro!J12</f>
        <v>22</v>
      </c>
      <c r="M2" s="3">
        <f>Ichiro!J13</f>
        <v>28</v>
      </c>
      <c r="N2" s="3">
        <f>Ichiro!J16</f>
        <v>15</v>
      </c>
      <c r="O2" s="3">
        <f>Ichiro!J17</f>
        <v>13</v>
      </c>
      <c r="P2" s="3">
        <f>Ichiro!J18</f>
        <v>5</v>
      </c>
      <c r="Q2" s="3">
        <f>Ichiro!J19</f>
        <v>15</v>
      </c>
      <c r="R2" s="3">
        <f>Ichiro!J20</f>
        <v>6</v>
      </c>
      <c r="S2" s="3">
        <f>Ichiro!J21</f>
        <v>0</v>
      </c>
      <c r="T2" s="3">
        <f>Ichiro!J22</f>
        <v>0</v>
      </c>
    </row>
    <row r="3" spans="1:20" x14ac:dyDescent="0.4">
      <c r="A3" s="2" t="s">
        <v>14</v>
      </c>
      <c r="B3" s="3">
        <f>Ichiro!K2</f>
        <v>8</v>
      </c>
      <c r="C3" s="3">
        <f>Ichiro!K3</f>
        <v>8</v>
      </c>
      <c r="D3" s="3">
        <f>Ichiro!K4</f>
        <v>8</v>
      </c>
      <c r="E3" s="3">
        <f>Ichiro!K5</f>
        <v>5</v>
      </c>
      <c r="F3" s="3">
        <f>Ichiro!K6</f>
        <v>12</v>
      </c>
      <c r="G3" s="3">
        <f>Ichiro!K7</f>
        <v>9</v>
      </c>
      <c r="H3" s="3">
        <f>Ichiro!K8</f>
        <v>7</v>
      </c>
      <c r="I3" s="3">
        <f>Ichiro!K9</f>
        <v>7</v>
      </c>
      <c r="J3" s="3">
        <f>Ichiro!K10</f>
        <v>4</v>
      </c>
      <c r="K3" s="3">
        <f>Ichiro!K11</f>
        <v>3</v>
      </c>
      <c r="L3" s="3">
        <f>Ichiro!K12</f>
        <v>3</v>
      </c>
      <c r="M3" s="3">
        <f>Ichiro!K13</f>
        <v>6</v>
      </c>
      <c r="N3" s="3">
        <f>Ichiro!K16</f>
        <v>3</v>
      </c>
      <c r="O3" s="3">
        <f>Ichiro!K17</f>
        <v>2</v>
      </c>
      <c r="P3" s="3">
        <f>Ichiro!K18</f>
        <v>6</v>
      </c>
      <c r="Q3" s="3">
        <f>Ichiro!K19</f>
        <v>5</v>
      </c>
      <c r="R3" s="3">
        <f>Ichiro!K20</f>
        <v>0</v>
      </c>
      <c r="S3" s="3">
        <f>Ichiro!K21</f>
        <v>0</v>
      </c>
      <c r="T3" s="3">
        <f>Ichiro!K22</f>
        <v>0</v>
      </c>
    </row>
  </sheetData>
  <phoneticPr fontId="18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DCEE-59B5-49A7-B695-070D59C439C3}">
  <sheetPr>
    <tabColor rgb="FF4472C4"/>
  </sheetPr>
  <dimension ref="A1:D23"/>
  <sheetViews>
    <sheetView showGridLines="0" workbookViewId="0">
      <selection activeCell="C40" sqref="C40"/>
    </sheetView>
  </sheetViews>
  <sheetFormatPr defaultRowHeight="17" x14ac:dyDescent="0.4"/>
  <cols>
    <col min="1" max="1" width="15.453125" customWidth="1"/>
    <col min="2" max="4" width="11.81640625" customWidth="1"/>
  </cols>
  <sheetData>
    <row r="1" spans="1:4" ht="26" customHeight="1" x14ac:dyDescent="0.4">
      <c r="A1" s="4" t="s">
        <v>52</v>
      </c>
      <c r="B1" s="4"/>
      <c r="C1" s="4"/>
      <c r="D1" s="4"/>
    </row>
    <row r="2" spans="1:4" x14ac:dyDescent="0.4">
      <c r="A2" s="5" t="s">
        <v>4</v>
      </c>
      <c r="B2" s="5" t="s">
        <v>0</v>
      </c>
      <c r="C2" s="5" t="s">
        <v>2</v>
      </c>
      <c r="D2" s="5" t="s">
        <v>3</v>
      </c>
    </row>
    <row r="3" spans="1:4" x14ac:dyDescent="0.4">
      <c r="A3" s="6">
        <v>2001</v>
      </c>
      <c r="B3" s="7">
        <v>0.35</v>
      </c>
      <c r="C3" s="7"/>
      <c r="D3" s="7"/>
    </row>
    <row r="4" spans="1:4" x14ac:dyDescent="0.4">
      <c r="A4" s="6">
        <v>2002</v>
      </c>
      <c r="B4" s="7">
        <v>0.32100000000000001</v>
      </c>
      <c r="C4" s="7"/>
      <c r="D4" s="7"/>
    </row>
    <row r="5" spans="1:4" x14ac:dyDescent="0.4">
      <c r="A5" s="6">
        <v>2003</v>
      </c>
      <c r="B5" s="7">
        <v>0.312</v>
      </c>
      <c r="C5" s="7"/>
      <c r="D5" s="7"/>
    </row>
    <row r="6" spans="1:4" x14ac:dyDescent="0.4">
      <c r="A6" s="6">
        <v>2004</v>
      </c>
      <c r="B6" s="7">
        <v>0.372</v>
      </c>
      <c r="C6" s="7"/>
      <c r="D6" s="7"/>
    </row>
    <row r="7" spans="1:4" x14ac:dyDescent="0.4">
      <c r="A7" s="6">
        <v>2005</v>
      </c>
      <c r="B7" s="7">
        <v>0.30299999999999999</v>
      </c>
      <c r="C7" s="7"/>
      <c r="D7" s="7"/>
    </row>
    <row r="8" spans="1:4" x14ac:dyDescent="0.4">
      <c r="A8" s="6">
        <v>2006</v>
      </c>
      <c r="B8" s="7">
        <v>0.32200000000000001</v>
      </c>
      <c r="C8" s="7"/>
      <c r="D8" s="7"/>
    </row>
    <row r="9" spans="1:4" x14ac:dyDescent="0.4">
      <c r="A9" s="6">
        <v>2007</v>
      </c>
      <c r="B9" s="7">
        <v>0.35099999999999998</v>
      </c>
      <c r="C9" s="7"/>
      <c r="D9" s="7"/>
    </row>
    <row r="10" spans="1:4" x14ac:dyDescent="0.4">
      <c r="A10" s="6">
        <v>2008</v>
      </c>
      <c r="B10" s="7">
        <v>0.31</v>
      </c>
      <c r="C10" s="7"/>
      <c r="D10" s="7"/>
    </row>
    <row r="11" spans="1:4" x14ac:dyDescent="0.4">
      <c r="A11" s="6">
        <v>2009</v>
      </c>
      <c r="B11" s="7">
        <v>0.35199999999999998</v>
      </c>
      <c r="C11" s="7"/>
      <c r="D11" s="7"/>
    </row>
    <row r="12" spans="1:4" x14ac:dyDescent="0.4">
      <c r="A12" s="6">
        <v>2010</v>
      </c>
      <c r="B12" s="7">
        <v>0.315</v>
      </c>
      <c r="C12" s="7"/>
      <c r="D12" s="7"/>
    </row>
    <row r="13" spans="1:4" x14ac:dyDescent="0.4">
      <c r="A13" s="6">
        <v>2011</v>
      </c>
      <c r="B13" s="7">
        <v>0.27200000000000002</v>
      </c>
      <c r="C13" s="7"/>
      <c r="D13" s="7"/>
    </row>
    <row r="14" spans="1:4" x14ac:dyDescent="0.4">
      <c r="A14" s="6">
        <v>2012</v>
      </c>
      <c r="B14" s="7">
        <v>0.26100000000000001</v>
      </c>
      <c r="C14" s="7">
        <v>0.32200000000000001</v>
      </c>
      <c r="D14" s="7"/>
    </row>
    <row r="15" spans="1:4" x14ac:dyDescent="0.4">
      <c r="A15" s="6">
        <v>2013</v>
      </c>
      <c r="B15" s="7"/>
      <c r="C15" s="7">
        <v>0.26200000000000001</v>
      </c>
      <c r="D15" s="7"/>
    </row>
    <row r="16" spans="1:4" x14ac:dyDescent="0.4">
      <c r="A16" s="6">
        <v>2014</v>
      </c>
      <c r="B16" s="7"/>
      <c r="C16" s="7">
        <v>0.28399999999999997</v>
      </c>
      <c r="D16" s="7"/>
    </row>
    <row r="17" spans="1:4" x14ac:dyDescent="0.4">
      <c r="A17" s="6">
        <v>2015</v>
      </c>
      <c r="B17" s="7"/>
      <c r="C17" s="7"/>
      <c r="D17" s="7">
        <v>0.22900000000000001</v>
      </c>
    </row>
    <row r="18" spans="1:4" x14ac:dyDescent="0.4">
      <c r="A18" s="6">
        <v>2016</v>
      </c>
      <c r="B18" s="7"/>
      <c r="C18" s="7"/>
      <c r="D18" s="7">
        <v>0.29099999999999998</v>
      </c>
    </row>
    <row r="19" spans="1:4" x14ac:dyDescent="0.4">
      <c r="A19" s="6">
        <v>2017</v>
      </c>
      <c r="B19" s="7"/>
      <c r="C19" s="7"/>
      <c r="D19" s="7">
        <v>0.255</v>
      </c>
    </row>
    <row r="20" spans="1:4" x14ac:dyDescent="0.4">
      <c r="A20" s="6">
        <v>2018</v>
      </c>
      <c r="B20" s="7">
        <v>0.20499999999999999</v>
      </c>
      <c r="C20" s="7"/>
      <c r="D20" s="7"/>
    </row>
    <row r="21" spans="1:4" x14ac:dyDescent="0.4">
      <c r="A21" s="8">
        <v>2019</v>
      </c>
      <c r="B21" s="9">
        <v>0</v>
      </c>
      <c r="C21" s="9"/>
      <c r="D21" s="9"/>
    </row>
    <row r="23" spans="1:4" ht="22" customHeight="1" x14ac:dyDescent="0.4">
      <c r="A23" s="10" t="s">
        <v>53</v>
      </c>
    </row>
  </sheetData>
  <mergeCells count="1">
    <mergeCell ref="A1:D1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Ichiro</vt:lpstr>
      <vt:lpstr>長打比較圖</vt:lpstr>
      <vt:lpstr>球隊打擊率趨勢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J114256131</cp:lastModifiedBy>
  <dcterms:created xsi:type="dcterms:W3CDTF">2026-09-04T06:23:08Z</dcterms:created>
  <dcterms:modified xsi:type="dcterms:W3CDTF">2026-09-04T07:40:03Z</dcterms:modified>
</cp:coreProperties>
</file>